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Scoring guide" sheetId="2" state="visible" r:id="rId4"/>
    <sheet name="Summary" sheetId="3" state="visible" r:id="rId5"/>
  </sheets>
  <definedNames>
    <definedName function="false" hidden="true" localSheetId="0" name="_xlnm._FilterDatabase" vbProcedure="false">Questions!$A$1:$K$37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<sst xmlns="http://schemas.openxmlformats.org/spreadsheetml/2006/main" count="303" uniqueCount="198">
  <si>
    <t xml:space="preserve">ID</t>
  </si>
  <si>
    <t xml:space="preserve">Category</t>
  </si>
  <si>
    <t xml:space="preserve">Type</t>
  </si>
  <si>
    <t xml:space="preserve">Difficulty</t>
  </si>
  <si>
    <t xml:space="preserve">Question</t>
  </si>
  <si>
    <t xml:space="preserve">Expected answer</t>
  </si>
  <si>
    <t xml:space="preserve">Required document(s)</t>
  </si>
  <si>
    <t xml:space="preserve">Why it's hard / trap</t>
  </si>
  <si>
    <t xml:space="preserve">Your system's answer</t>
  </si>
  <si>
    <t xml:space="preserve">Correct? (Y/N/Partial)</t>
  </si>
  <si>
    <t xml:space="preserve">Notes</t>
  </si>
  <si>
    <t xml:space="preserve">Q001</t>
  </si>
  <si>
    <t xml:space="preserve">Architecture</t>
  </si>
  <si>
    <t xml:space="preserve">Single-document</t>
  </si>
  <si>
    <t xml:space="preserve">Easy</t>
  </si>
  <si>
    <t xml:space="preserve">What happens when the Feature Service becomes unavailable?</t>
  </si>
  <si>
    <t xml:space="preserve">The Risk Orchestrator falls to Level 2 of the degradation ladder: it scores with the reduced-feature model FraudShield v4.2-RF using the 32 request-only features, applies stricter thresholds (DECLINE &gt;= 0.92, REVIEW 0.75-0.92), and marks the decision degraded=true with reason code FEATURES_UNAVAILABLE.</t>
  </si>
  <si>
    <t xml:space="preserve">System Architecture Design, Chapter 7 (Failure Scenarios, FS-1)</t>
  </si>
  <si>
    <t xml:space="preserve">Q002</t>
  </si>
  <si>
    <t xml:space="preserve">Medium</t>
  </si>
  <si>
    <t xml:space="preserve">What is the server-side scoring deadline, and what happens if it is exceeded?</t>
  </si>
  <si>
    <t xml:space="preserve">250 ms. If exceeded, the Orchestrator returns a rules-only decision (Level 3), risk_score is null, decision_source is RULES_ONLY, and degraded=true.</t>
  </si>
  <si>
    <t xml:space="preserve">System Architecture Design, Chapter 2 and Chapter 7</t>
  </si>
  <si>
    <t xml:space="preserve">Q003</t>
  </si>
  <si>
    <t xml:space="preserve">Which cloud provider hosts the core banking... (n/a - not this platform) — What is the Recovery Time Objective (RTO) for the Tier 1 scoring path?</t>
  </si>
  <si>
    <t xml:space="preserve">30 minutes, with a Recovery Point Objective (RPO) of 5 minutes.</t>
  </si>
  <si>
    <t xml:space="preserve">System Architecture Design, Chapter 5 / Disaster Recovery Architecture, Chapter 1</t>
  </si>
  <si>
    <t xml:space="preserve">Q004</t>
  </si>
  <si>
    <t xml:space="preserve">Is active-active multi-region deployment part of the current architecture?</t>
  </si>
  <si>
    <t xml:space="preserve">No. It is ADR-010, status PROPOSED, discussed at ARB-2026-06 and deferred pending cost analysis and DR test results. The current architecture is single active region (us-east-1) with a warm standby (us-west-2), per ADR-007.</t>
  </si>
  <si>
    <t xml:space="preserve">System Architecture Design, Chapter 8 (ADR log) / Disaster Recovery Architecture, Chapter 1</t>
  </si>
  <si>
    <t xml:space="preserve">Version trap: a system that just pattern-matches on 'multi-region' language could wrongly report this as current architecture.</t>
  </si>
  <si>
    <t xml:space="preserve">Q005</t>
  </si>
  <si>
    <t xml:space="preserve">Hard</t>
  </si>
  <si>
    <t xml:space="preserve">How many Redis shards does the online feature store use, and what is the per-pod connection pool size as of the current documentation?</t>
  </si>
  <si>
    <t xml:space="preserve">12 shards (1 primary + 2 replicas each). Connection pool is 480 per Feature Service pod (raised from 200 in SS-2.14.1, released 2026-08-25).</t>
  </si>
  <si>
    <t xml:space="preserve">System Architecture Design, Chapter 3 and Appendix A (Configuration Reference)</t>
  </si>
  <si>
    <t xml:space="preserve">Requires picking the current config value, not the pre-incident value of 200 that appears in the INC-2026-041 postmortem.</t>
  </si>
  <si>
    <t xml:space="preserve">Q006</t>
  </si>
  <si>
    <t xml:space="preserve">Model</t>
  </si>
  <si>
    <t xml:space="preserve">What is the current production fraud model?</t>
  </si>
  <si>
    <t xml:space="preserve">FraudShield v4.2 (LightGBM with isotonic calibration, 84 features), effective 2026-04-06, owner Sarah Johnson, approved by MGC-2026-03.</t>
  </si>
  <si>
    <t xml:space="preserve">Fraud Model Technical Design, Chapter 1 / Model Card, Section 4.1</t>
  </si>
  <si>
    <t xml:space="preserve">Core version trap: v5.0 is newer (in shadow since 2026-08-19) but is a DRAFT, not production. A naive 'most recent version number' answer is wrong.</t>
  </si>
  <si>
    <t xml:space="preserve">Q007</t>
  </si>
  <si>
    <t xml:space="preserve">Is FraudShield v5.0 currently used to make real decisions for customers?</t>
  </si>
  <si>
    <t xml:space="preserve">No. v5.0 runs in shadow mode only: it scores a mirror of live traffic but its scores are logged and never returned to callers. Decisions are made by v4.2.</t>
  </si>
  <si>
    <t xml:space="preserve">Fraud Model Technical Design, Chapter 1 and Appendix C (shadow evaluation)</t>
  </si>
  <si>
    <t xml:space="preserve">Q008</t>
  </si>
  <si>
    <t xml:space="preserve">Which features does FraudShield v4.2 use?</t>
  </si>
  <si>
    <t xml:space="preserve">84 features total: 32 request-only features, 33 streaming behavioral features, and 19 entity risk/enrichment features. (Full list in the Feature Catalog / Data Dictionary.)</t>
  </si>
  <si>
    <t xml:space="preserve">Fraud Model Technical Design, Chapter 3 / Data Dictionary, Part 2.2</t>
  </si>
  <si>
    <t xml:space="preserve">Q009</t>
  </si>
  <si>
    <t xml:space="preserve">Can FraudShield v3.1 be used as a rollback target if v4.2 has a serious production problem?</t>
  </si>
  <si>
    <t xml:space="preserve">No. v3.1 is ARCHIVED and was removed from the serving registry on 2026-07-06. The valid rollback target is the previous approved serving configuration of v4.2 itself, or degrading to v4.2-RF / rules-only.</t>
  </si>
  <si>
    <t xml:space="preserve">Fraud Model Technical Design, Chapter 9 (rollback conditions) / Production Runbook, RB-05</t>
  </si>
  <si>
    <t xml:space="preserve">Version trap: an older archived version is not a safe fallback just because it's a known-good historical state.</t>
  </si>
  <si>
    <t xml:space="preserve">Q010</t>
  </si>
  <si>
    <t xml:space="preserve">What conditions require a FraudShield rollback?</t>
  </si>
  <si>
    <t xml:space="preserve">Any of: score PSI &gt; 0.25 for 2 consecutive hours with falling precision; precision at decline threshold &lt; 65% for 24 hours; inference p99 &gt; 60 ms for 15 minutes; approval rate deviating &gt; 3 points from the 7-day baseline for 30 minutes; or a Critical validation finding discovered post-release.</t>
  </si>
  <si>
    <t xml:space="preserve">Fraud Model Technical Design, Chapter 9 / Model Documentation, Section 4.5-4.6</t>
  </si>
  <si>
    <t xml:space="preserve">Q011</t>
  </si>
  <si>
    <t xml:space="preserve">Who owns FraudShield v4.2?</t>
  </si>
  <si>
    <t xml:space="preserve">Sarah Johnson, Lead Data Scientist, Fraud Models. (She owns all FraudShield versions, including archived and draft.)</t>
  </si>
  <si>
    <t xml:space="preserve">Fraud Model Technical Design, Document control / Model Card, Section 4.2</t>
  </si>
  <si>
    <t xml:space="preserve">Q012</t>
  </si>
  <si>
    <t xml:space="preserve">What metrics does the platform monitor for FraudShield, and what are the warning vs. action thresholds for score drift?</t>
  </si>
  <si>
    <t xml:space="preserve">Score PSI is monitored; warning at PSI &gt; 0.20, action (rollback consideration) at PSI &gt; 0.25 for 2 consecutive hours combined with falling precision.</t>
  </si>
  <si>
    <t xml:space="preserve">Fraud Model Technical Design, Chapter 8 / Model Monitoring Specification, Section 4.5</t>
  </si>
  <si>
    <t xml:space="preserve">Q013</t>
  </si>
  <si>
    <t xml:space="preserve">Security</t>
  </si>
  <si>
    <t xml:space="preserve">What data classification applies to transaction-level features?</t>
  </si>
  <si>
    <t xml:space="preserve">Confidential. Only static reference-data features (e.g., MCC code, BIN country, risk tiers) are Internal; aggregated dashboards without entity-level data are also Internal.</t>
  </si>
  <si>
    <t xml:space="preserve">Security Architecture, Chapter 2</t>
  </si>
  <si>
    <t xml:space="preserve">Q014</t>
  </si>
  <si>
    <t xml:space="preserve">Does PRFIP ever receive or store a full card number (PAN)?</t>
  </si>
  <si>
    <t xml:space="preserve">No. PRFIP receives only a token (card_token_id) plus the BIN and last four digits, which PCI DSS permits to be stored. The PAN itself stays in the Token Vault, outside PRFIP.</t>
  </si>
  <si>
    <t xml:space="preserve">Security Architecture, Chapter 1 and Chapter 2 / Data Dictionary, Part 2.1</t>
  </si>
  <si>
    <t xml:space="preserve">Q015</t>
  </si>
  <si>
    <t xml:space="preserve">What access recertification frequency applies to a Data Scientist role with Confidential feature access, vs. a Platform Engineer?</t>
  </si>
  <si>
    <t xml:space="preserve">Data Scientist: quarterly. Platform Engineer: quarterly for non-production write access is also quarterly per the role table (both are quarterly in this document set; check exact role row).</t>
  </si>
  <si>
    <t xml:space="preserve">Security Architecture, Chapter 3 (Identity and Access Management)</t>
  </si>
  <si>
    <t xml:space="preserve">Q016</t>
  </si>
  <si>
    <t xml:space="preserve">How long are audit logs retained, and can they be modified?</t>
  </si>
  <si>
    <t xml:space="preserve">7 years, and they are immutable (S3 Object Lock in compliance mode, with a secondary immutable copy in Azure Blob Storage).</t>
  </si>
  <si>
    <t xml:space="preserve">Security Architecture, Chapter 5</t>
  </si>
  <si>
    <t xml:space="preserve">Q017</t>
  </si>
  <si>
    <t xml:space="preserve">Operations</t>
  </si>
  <si>
    <t xml:space="preserve">What steps should an engineer follow if FraudShield stops responding?</t>
  </si>
  <si>
    <t xml:space="preserve">Follow Runbook procedure RB-01: declare SEV-1, page the model owner, confirm scope via the degraded rate dashboard, check pod status and recent deployments, check the model artifact checksum, roll back the Scoring Service if a release correlates (never to v3.1), scale out if it's a saturation issue, then verify recovery metrics.</t>
  </si>
  <si>
    <t xml:space="preserve">Production Runbook, RB-01</t>
  </si>
  <si>
    <t xml:space="preserve">Q018</t>
  </si>
  <si>
    <t xml:space="preserve">What is the escalation path for a SEV-1 incident?</t>
  </si>
  <si>
    <t xml:space="preserve">Page immediately, incident commander assigned within 10 minutes, notify on-call SRE, SRE Lead, Head of Fraud Engineering (and CISO if security-related, plus Fraud Operations); status updates every 15 minutes.</t>
  </si>
  <si>
    <t xml:space="preserve">Production Runbook, Chapter 1 (On-call and Escalation)</t>
  </si>
  <si>
    <t xml:space="preserve">Q019</t>
  </si>
  <si>
    <t xml:space="preserve">When are Tier 1 releases deployed, and what testing is required beforehand?</t>
  </si>
  <si>
    <t xml:space="preserve">Tuesdays 10:00-12:00 UTC. Required: an approved change request, Release Readiness Review, and a load test at 120% of the trailing 30-day peak using the release's actual call pattern (checklist item RC-11), plus a canary of at least 5% for 24+ hours including a peak traffic period.</t>
  </si>
  <si>
    <t xml:space="preserve">Production Runbook, RB-10</t>
  </si>
  <si>
    <t xml:space="preserve">Q020</t>
  </si>
  <si>
    <t xml:space="preserve">What is the manual review case creation SLA, and what happens to REVIEW decisions if Case Management is down?</t>
  </si>
  <si>
    <t xml:space="preserve">Cases must be created within 5 seconds of a REVIEW decision (99% of the time), with target first-analyst-touch of 15 minutes for high-value cases and 45 minutes otherwise. If Case Management is unavailable, REVIEW decisions still occur; case-creation events queue in Kafka and cases are created on recovery.</t>
  </si>
  <si>
    <t xml:space="preserve">System Architecture Design, Component catalog (Case Management Service) / Production Runbook, RB-09</t>
  </si>
  <si>
    <t xml:space="preserve">Q021</t>
  </si>
  <si>
    <t xml:space="preserve">Incident</t>
  </si>
  <si>
    <t xml:space="preserve">Multi-document</t>
  </si>
  <si>
    <t xml:space="preserve">What caused the August 2026 fraud-scoring latency incident, and what permanent fix was made?</t>
  </si>
  <si>
    <t xml:space="preserve">INC-2026-041: Scoring Service release SS-2.14.0 (2026-08-04) increased Feature Service lookups per request from 6 to 14 without raising the Redis connection pool (fixed at 200/pod). At the 2026-08-11 lunch-hour peak (4,800 rps), the pool was exhausted, Feature Service latency rose to 610 ms, and the Orchestrator fell back to reduced-feature/rules-only decisions for ~1.8 hours. Fixed by SS-2.14.1 (2026-08-25): pipelined MGET lookups (3 round trips instead of 14) and pool raised to 480; new alert PRFIP-FS-POOL-001 added; load-test and canary process changed (checklist item RC-11).</t>
  </si>
  <si>
    <t xml:space="preserve">Incident and Postmortem Reports, INC-2026-041 / System Architecture Design, FS-4 and ADR-011 (amended) / Production Runbook, RB-04</t>
  </si>
  <si>
    <t xml:space="preserve">Requires combining the incident narrative (postmortem) with the architecture document's description of the current fixed configuration and the ADR amendment.</t>
  </si>
  <si>
    <t xml:space="preserve">Q022</t>
  </si>
  <si>
    <t xml:space="preserve">What caused INC-2026-057, and how does the current architecture prevent a recurrence?</t>
  </si>
  <si>
    <t xml:space="preserve">A Payment Gateway producer change altered the 'amount' field in payments.transactions.v1 from integer to decimal string (schema 1.7), registered without compatibility enforcement (subject was set to NONE). The Flink stream processor could not deserialize the new records and entered a restart loop for 3h12m, leaving streaming features stale. Prevention: Schema Registry now enforces BACKWARD_TRANSITIVE compatibility on all PRFIP subjects (ADR-012, REL-2026-036), and the stream processor routes undeserializable records to a dead-letter topic instead of failing.</t>
  </si>
  <si>
    <t xml:space="preserve">Incident and Postmortem Reports, INC-2026-057 / System Architecture Design, Chapter 4 (Kafka topics) and ADR-012 / Fraud Model Technical Design, Chapter 5 (Real-time Feature Pipeline)</t>
  </si>
  <si>
    <t xml:space="preserve">Q023</t>
  </si>
  <si>
    <t xml:space="preserve">During INC-2026-041, what alternative model was serving decisions, and how did its thresholds differ from normal?</t>
  </si>
  <si>
    <t xml:space="preserve">FraudShield v4.2-RF (the reduced-feature fallback) served many requests at Level 2. Its thresholds are stricter than v4.2's normal thresholds: DECLINE &gt;= 0.92 (vs 0.85) and REVIEW 0.75-0.92 (vs 0.60-0.85), with no step-up band.</t>
  </si>
  <si>
    <t xml:space="preserve">Incident and Postmortem Reports, INC-2026-041 / Fraud Model Technical Design, Chapter 2 (Reduced-feature model v4.2-RF) and Chapter 7 (Degradation Ladder)</t>
  </si>
  <si>
    <t xml:space="preserve">Requires connecting the incident report's mention of 'reduced-feature model' to the actual threshold values defined in the model design document.</t>
  </si>
  <si>
    <t xml:space="preserve">Q024</t>
  </si>
  <si>
    <t xml:space="preserve">Were there any customer-facing errors during either the August or September 2026 incidents?</t>
  </si>
  <si>
    <t xml:space="preserve">No. In both INC-2026-041 and INC-2026-057, the platform continued to return HTTP 200 decisions throughout (via the degradation ladder and stale-but-present features respectively); no request failed outright.</t>
  </si>
  <si>
    <t xml:space="preserve">Incident and Postmortem Reports, INC-2026-041 and INC-2026-057 (Impact sections) / System Architecture Design, Chapter 7</t>
  </si>
  <si>
    <t xml:space="preserve">Q025</t>
  </si>
  <si>
    <t xml:space="preserve">How many action items remain open from the two Q3 2026 incidents combined?</t>
  </si>
  <si>
    <t xml:space="preserve">Three: AI-041-8 (review Fraud Operations staffing plan, open), AI-057-6 (contract tests between Payment Gateway and Flink consumer, open), AI-057-7 (review streaming feature TTL, open).</t>
  </si>
  <si>
    <t xml:space="preserve">Incident and Postmortem Reports, corrective action tables for INC-2026-041 and INC-2026-057</t>
  </si>
  <si>
    <t xml:space="preserve">Q026</t>
  </si>
  <si>
    <t xml:space="preserve">Data/API</t>
  </si>
  <si>
    <t xml:space="preserve">What does device_velocity_24h represent?</t>
  </si>
  <si>
    <t xml:space="preserve">The number of transactions from the same device in the preceding 24 hours, computed by the stream processor as a trailing sliding window.</t>
  </si>
  <si>
    <t xml:space="preserve">Data Dictionary, Part 2.2 (Behavioral streaming features) / Fraud Model Technical Design, Chapter 3</t>
  </si>
  <si>
    <t xml:space="preserve">Q027</t>
  </si>
  <si>
    <t xml:space="preserve">Where does merchant_risk_score originate, and how often is it refreshed?</t>
  </si>
  <si>
    <t xml:space="preserve">Computed by the Merchant Risk Service in a daily batch job from 90 days of merchant chargeback rate, refund ratio, volume growth and merchant age; refreshed hourly for merchants with material new activity.</t>
  </si>
  <si>
    <t xml:space="preserve">Data Dictionary, Part 2.2 / System Architecture Design, Component catalog (Merchant Risk Service, C09)</t>
  </si>
  <si>
    <t xml:space="preserve">Q028</t>
  </si>
  <si>
    <t xml:space="preserve">What happens when /v1/risk/score (POST /risk/score) times out from the caller's perspective?</t>
  </si>
  <si>
    <t xml:space="preserve">The server-side 250 ms deadline almost always resolves first, returning a degraded rules-only decision. If nothing returns within the Payment Gateway's own 400 ms client timeout, the Gateway applies its local fail-safe policy (approve below USD 100 for cached trusted customers, otherwise hold for manual review) rather than treating it as an API error.</t>
  </si>
  <si>
    <t xml:space="preserve">API Specification, Section 3.5 / System Architecture Design, Chapter 7 (Level 4)</t>
  </si>
  <si>
    <t xml:space="preserve">Q029</t>
  </si>
  <si>
    <t xml:space="preserve">Is merchant_risk_score classified the same as merchant_category_risk_tier?</t>
  </si>
  <si>
    <t xml:space="preserve">No. merchant_risk_score (computed from live merchant behavior) is Confidential; merchant_category_risk_tier (a static reference-data lookup) is Internal.</t>
  </si>
  <si>
    <t xml:space="preserve">Data Dictionary, Part 2.2 / Security Architecture, Chapter 2</t>
  </si>
  <si>
    <t xml:space="preserve">Tests whether retrieval distinguishes two similarly-named fields with different classifications.</t>
  </si>
  <si>
    <t xml:space="preserve">Q030</t>
  </si>
  <si>
    <t xml:space="preserve">Version trap</t>
  </si>
  <si>
    <t xml:space="preserve">According to the most recently dated internal discussion, what thresholds will FraudShield use going forward?</t>
  </si>
  <si>
    <t xml:space="preserve">Trick question: the proposed v5.0 thresholds (DECLINE &gt;= 0.82 etc.) were only tabled/discussed at MGC-2026-09 (2026-09-10) and explicitly deferred to MGC-2026-10 (2026-10-15). No approval has been recorded. The thresholds actually in force remain v4.2's TS-4.2.1 (DECLINE &gt;= 0.85, REVIEW 0.60-0.85, STEP_UP 0.50-0.60).</t>
  </si>
  <si>
    <t xml:space="preserve">Release and Governance Documents, Section 5.2 (MGC-2026-09 minutes) / Fraud Model Technical Design, Chapter 2</t>
  </si>
  <si>
    <t xml:space="preserve">This question is deliberately phrased to bait a system into treating the most recent document/date as authoritative rather than checking approval status.</t>
  </si>
  <si>
    <t xml:space="preserve">Q031</t>
  </si>
  <si>
    <t xml:space="preserve">The System Architecture Design mentions a v3.3 that described 6 lookups per request. Is that still accurate?</t>
  </si>
  <si>
    <t xml:space="preserve">No. v3.3 (ARCHIVED, effective 2026-06-30) described 6 grouped lookups. The CURRENT version, v3.4 (effective 2026-09-01), reflects the post-INC-2026-041 fix: pipelined lookups using 3 Redis round trips. A reader must check the version/status table, not just find the first mention of 'lookups per request'.</t>
  </si>
  <si>
    <t xml:space="preserve">System Architecture Design, Part 1 (Document Control) and Chapter 6 (Performance)</t>
  </si>
  <si>
    <t xml:space="preserve">Q032</t>
  </si>
  <si>
    <t xml:space="preserve">Is ADR-005 (fail open on timeout) still the platform's policy?</t>
  </si>
  <si>
    <t xml:space="preserve">No. ADR-005 is marked SUPERSEDED. It was replaced by ADR-009 (approved 2026-02-10), which established the current 250 ms deadline and rules-only fallback policy.</t>
  </si>
  <si>
    <t xml:space="preserve">System Architecture Design, Chapter 8 (ADR log and Decision notes)</t>
  </si>
  <si>
    <t xml:space="preserve">Q033</t>
  </si>
  <si>
    <t xml:space="preserve">What is the effective date of the current System Architecture Design, and what changed from the previous version?</t>
  </si>
  <si>
    <t xml:space="preserve">v3.4, effective 2026-09-01. It added schema compatibility enforcement, dead-letter routing, the feature freshness alert, and updated Redis pool sizing, all in response to INC-2026-041 and INC-2026-057.</t>
  </si>
  <si>
    <t xml:space="preserve">System Architecture Design, Part 1 and Chapter 9 (Version History)</t>
  </si>
  <si>
    <t xml:space="preserve">Q034</t>
  </si>
  <si>
    <t xml:space="preserve">Governance</t>
  </si>
  <si>
    <t xml:space="preserve">Did the Architecture Review Board approve active-active multi-region deployment?</t>
  </si>
  <si>
    <t xml:space="preserve">No. It was proposed (ADR-010) at ARB-2026-06 by Priya Raman and discussed, but the board deferred the decision pending cost analysis and DR test results. It has never been approved.</t>
  </si>
  <si>
    <t xml:space="preserve">Release and Governance Documents, Section 5.1 (ARB-2026-08 minutes) / System Architecture Design, Chapter 8</t>
  </si>
  <si>
    <t xml:space="preserve">The minutes literally label this passage &lt;Proposal, deferred, not approved&gt; — tests whether retrieval respects that label rather than surfacing it as a fact.</t>
  </si>
  <si>
    <t xml:space="preserve">Q035</t>
  </si>
  <si>
    <t xml:space="preserve">What was approved at ARB-2026-08 regarding ADR-011?</t>
  </si>
  <si>
    <t xml:space="preserve">The board approved amending ADR-011 to require pipelined batching and a connection-pool sizing review at every release, following analysis of INC-2026-041.</t>
  </si>
  <si>
    <t xml:space="preserve">Release and Governance Documents, Section 5.1 (ARB-2026-08 minutes)</t>
  </si>
  <si>
    <t xml:space="preserve">Q036</t>
  </si>
  <si>
    <t xml:space="preserve">Who chairs the Model Governance Committee, and who chairs the Architecture Review Board?</t>
  </si>
  <si>
    <t xml:space="preserve">Model Governance Committee: Aisha Khan. Architecture Review Board: Marcus Lee.</t>
  </si>
  <si>
    <t xml:space="preserve">Release and Governance Documents, Sections 5.1-5.2 (minutes headers) / Business Requirements, glossary</t>
  </si>
  <si>
    <t xml:space="preserve">How to use this evaluation set</t>
  </si>
  <si>
    <t xml:space="preserve">1. Ingest the two document sets (PRFIP Engineering and Operations Documentation.pdf, PRFIP Business Data API Model Documentation.docx) into your RAG system.</t>
  </si>
  <si>
    <t xml:space="preserve">2. For each question in the Questions sheet, submit it to your system exactly as written.</t>
  </si>
  <si>
    <t xml:space="preserve">3. Paste your system's actual answer into column I ('Your system's answer').</t>
  </si>
  <si>
    <t xml:space="preserve">4. Compare it against column F ('Expected answer') and mark column J as Y (fully correct), N (wrong), or Partial (right idea, missing or wrong detail).</t>
  </si>
  <si>
    <t xml:space="preserve">5. Use column K for freeform notes, e.g. which document/chunk was actually retrieved, or how the answer diverged.</t>
  </si>
  <si>
    <t xml:space="preserve">Categories:</t>
  </si>
  <si>
    <t xml:space="preserve">  - Single-document: answerable from one document/section. Baseline retrieval test.</t>
  </si>
  <si>
    <t xml:space="preserve">  - Multi-document: requires combining two or more documents (e.g., an incident report and the architecture doc). Tests multi-hop retrieval.</t>
  </si>
  <si>
    <t xml:space="preserve">  - Version trap: the corpus contains an archived, superseded, or draft version of the same fact. Tests whether your system respects status/effective-date metadata instead of just similarity-matching text or picking the most recent-looking passage.</t>
  </si>
  <si>
    <t xml:space="preserve">  - Governance: tests whether your system distinguishes an approved decision from a discussion or a deferred proposal, using the inline &lt;Decision/Discussion/Proposal&gt; labels in the meeting minutes.</t>
  </si>
  <si>
    <t xml:space="preserve">Suggested metrics to compute after scoring:</t>
  </si>
  <si>
    <t xml:space="preserve">  - Retrieval hit rate: % of questions where the correct source document was retrieved at all.</t>
  </si>
  <si>
    <t xml:space="preserve">  - Answer correctness: % marked Y in column J.</t>
  </si>
  <si>
    <t xml:space="preserve">  - Wrong-version rate: % of 'Version trap' questions where the system used the wrong version's facts.</t>
  </si>
  <si>
    <t xml:space="preserve">  - Multi-hop success rate: % of 'Multi-document' questions answered fully (both required documents reflected).</t>
  </si>
  <si>
    <t xml:space="preserve">This set intentionally has more Version trap and Governance questions than a typical eval, because those are the specific failure modes this corpus was designed to expose.</t>
  </si>
  <si>
    <t xml:space="preserve">Question set summary</t>
  </si>
  <si>
    <t xml:space="preserve">Total questions</t>
  </si>
  <si>
    <t xml:space="preserve">By category</t>
  </si>
  <si>
    <t xml:space="preserve">By type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</si>
</sst>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9.5"/>
      <name val="Calibri"/>
      <family val="0"/>
      <charset val="1"/>
    </font>
    <font>
      <b val="true"/>
      <sz val="14"/>
      <color rgb="FF1A2B4A"/>
      <name val="Calibri"/>
      <family val="0"/>
      <charset val="1"/>
    </font>
    <font>
      <sz val="10.5"/>
      <name val="Calibri"/>
      <family val="0"/>
      <charset val="1"/>
    </font>
    <font>
      <b val="true"/>
      <sz val="10.5"/>
      <name val="Calibri"/>
      <family val="0"/>
      <charset val="1"/>
    </font>
  </fonts>
  <fills count="4">
    <fill>
      <patternFill patternType="none"/>
    </fill>
    <fill>
      <patternFill patternType="gray125"/>
    </fill>
    <fill>
      <patternFill patternType="solid">
        <fgColor rgb="FF1A2B4A"/>
        <bgColor rgb="FF003366"/>
      </patternFill>
    </fill>
    <fill>
      <patternFill patternType="solid">
        <fgColor rgb="FFEEF1F5"/>
        <bgColor rgb="FFFFFFFF"/>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A2B4A"/>
          <bgColor rgb="FF000000"/>
        </patternFill>
      </fill>
    </dxf>
    <dxf>
      <fill>
        <patternFill patternType="solid">
          <fgColor rgb="FFEEF1F5"/>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1F5"/>
      <rgbColor rgb="FFCCFFFF"/>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2B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3" min="3" style="0" width="15"/>
    <col collapsed="false" customWidth="true" hidden="false" outlineLevel="0" max="4" min="4" style="0" width="10"/>
    <col collapsed="false" customWidth="true" hidden="false" outlineLevel="0" max="5" min="5" style="0" width="34"/>
    <col collapsed="false" customWidth="true" hidden="false" outlineLevel="0" max="6" min="6" style="0" width="40"/>
    <col collapsed="false" customWidth="true" hidden="false" outlineLevel="0" max="7" min="7" style="0" width="26"/>
    <col collapsed="false" customWidth="true" hidden="false" outlineLevel="0" max="8" min="8" style="0" width="30"/>
    <col collapsed="false" customWidth="true" hidden="false" outlineLevel="0" max="9" min="9" style="0" width="20"/>
    <col collapsed="false" customWidth="true" hidden="false" outlineLevel="0" max="10" min="10" style="0" width="14"/>
    <col collapsed="false" customWidth="true" hidden="false" outlineLevel="0" max="11" min="11" style="0" width="16"/>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85" hidden="false" customHeight="false" outlineLevel="0" collapsed="false">
      <c r="A2" s="2" t="s">
        <v>11</v>
      </c>
      <c r="B2" s="2" t="s">
        <v>12</v>
      </c>
      <c r="C2" s="2" t="s">
        <v>13</v>
      </c>
      <c r="D2" s="2" t="s">
        <v>14</v>
      </c>
      <c r="E2" s="2" t="s">
        <v>15</v>
      </c>
      <c r="F2" s="2" t="s">
        <v>16</v>
      </c>
      <c r="G2" s="2" t="s">
        <v>17</v>
      </c>
      <c r="H2" s="2"/>
      <c r="I2" s="2"/>
      <c r="J2" s="2"/>
      <c r="K2" s="2"/>
    </row>
    <row r="3" customFormat="false" ht="35.05" hidden="false" customHeight="false" outlineLevel="0" collapsed="false">
      <c r="A3" s="3" t="s">
        <v>18</v>
      </c>
      <c r="B3" s="3" t="s">
        <v>12</v>
      </c>
      <c r="C3" s="3" t="s">
        <v>13</v>
      </c>
      <c r="D3" s="3" t="s">
        <v>19</v>
      </c>
      <c r="E3" s="3" t="s">
        <v>20</v>
      </c>
      <c r="F3" s="3" t="s">
        <v>21</v>
      </c>
      <c r="G3" s="3" t="s">
        <v>22</v>
      </c>
      <c r="H3" s="3"/>
      <c r="I3" s="3"/>
      <c r="J3" s="3"/>
      <c r="K3" s="3"/>
    </row>
    <row r="4" customFormat="false" ht="46.25" hidden="false" customHeight="false" outlineLevel="0" collapsed="false">
      <c r="A4" s="2" t="s">
        <v>23</v>
      </c>
      <c r="B4" s="2" t="s">
        <v>12</v>
      </c>
      <c r="C4" s="2" t="s">
        <v>13</v>
      </c>
      <c r="D4" s="2" t="s">
        <v>14</v>
      </c>
      <c r="E4" s="2" t="s">
        <v>24</v>
      </c>
      <c r="F4" s="2" t="s">
        <v>25</v>
      </c>
      <c r="G4" s="2" t="s">
        <v>26</v>
      </c>
      <c r="H4" s="2"/>
      <c r="I4" s="2"/>
      <c r="J4" s="2"/>
      <c r="K4" s="2"/>
    </row>
    <row r="5" customFormat="false" ht="57.45" hidden="false" customHeight="false" outlineLevel="0" collapsed="false">
      <c r="A5" s="3" t="s">
        <v>27</v>
      </c>
      <c r="B5" s="3" t="s">
        <v>12</v>
      </c>
      <c r="C5" s="3" t="s">
        <v>13</v>
      </c>
      <c r="D5" s="3" t="s">
        <v>19</v>
      </c>
      <c r="E5" s="3" t="s">
        <v>28</v>
      </c>
      <c r="F5" s="3" t="s">
        <v>29</v>
      </c>
      <c r="G5" s="3" t="s">
        <v>30</v>
      </c>
      <c r="H5" s="3" t="s">
        <v>31</v>
      </c>
      <c r="I5" s="3"/>
      <c r="J5" s="3"/>
      <c r="K5" s="3"/>
    </row>
    <row r="6" customFormat="false" ht="46.25" hidden="false" customHeight="false" outlineLevel="0" collapsed="false">
      <c r="A6" s="2" t="s">
        <v>32</v>
      </c>
      <c r="B6" s="2" t="s">
        <v>12</v>
      </c>
      <c r="C6" s="2" t="s">
        <v>13</v>
      </c>
      <c r="D6" s="2" t="s">
        <v>33</v>
      </c>
      <c r="E6" s="2" t="s">
        <v>34</v>
      </c>
      <c r="F6" s="2" t="s">
        <v>35</v>
      </c>
      <c r="G6" s="2" t="s">
        <v>36</v>
      </c>
      <c r="H6" s="2" t="s">
        <v>37</v>
      </c>
      <c r="I6" s="2"/>
      <c r="J6" s="2"/>
      <c r="K6" s="2"/>
    </row>
    <row r="7" customFormat="false" ht="57.45" hidden="false" customHeight="false" outlineLevel="0" collapsed="false">
      <c r="A7" s="3" t="s">
        <v>38</v>
      </c>
      <c r="B7" s="3" t="s">
        <v>39</v>
      </c>
      <c r="C7" s="3" t="s">
        <v>13</v>
      </c>
      <c r="D7" s="3" t="s">
        <v>14</v>
      </c>
      <c r="E7" s="3" t="s">
        <v>40</v>
      </c>
      <c r="F7" s="3" t="s">
        <v>41</v>
      </c>
      <c r="G7" s="3" t="s">
        <v>42</v>
      </c>
      <c r="H7" s="3" t="s">
        <v>43</v>
      </c>
      <c r="I7" s="3"/>
      <c r="J7" s="3"/>
      <c r="K7" s="3"/>
    </row>
    <row r="8" customFormat="false" ht="35.05" hidden="false" customHeight="false" outlineLevel="0" collapsed="false">
      <c r="A8" s="2" t="s">
        <v>44</v>
      </c>
      <c r="B8" s="2" t="s">
        <v>12</v>
      </c>
      <c r="C8" s="2" t="s">
        <v>13</v>
      </c>
      <c r="D8" s="2" t="s">
        <v>19</v>
      </c>
      <c r="E8" s="2" t="s">
        <v>45</v>
      </c>
      <c r="F8" s="2" t="s">
        <v>46</v>
      </c>
      <c r="G8" s="2" t="s">
        <v>47</v>
      </c>
      <c r="H8" s="2"/>
      <c r="I8" s="2"/>
      <c r="J8" s="2"/>
      <c r="K8" s="2"/>
    </row>
    <row r="9" customFormat="false" ht="46.25" hidden="false" customHeight="false" outlineLevel="0" collapsed="false">
      <c r="A9" s="3" t="s">
        <v>48</v>
      </c>
      <c r="B9" s="3" t="s">
        <v>39</v>
      </c>
      <c r="C9" s="3" t="s">
        <v>13</v>
      </c>
      <c r="D9" s="3" t="s">
        <v>19</v>
      </c>
      <c r="E9" s="3" t="s">
        <v>49</v>
      </c>
      <c r="F9" s="3" t="s">
        <v>50</v>
      </c>
      <c r="G9" s="3" t="s">
        <v>51</v>
      </c>
      <c r="H9" s="3"/>
      <c r="I9" s="3"/>
      <c r="J9" s="3"/>
      <c r="K9" s="3"/>
    </row>
    <row r="10" customFormat="false" ht="46.25" hidden="false" customHeight="false" outlineLevel="0" collapsed="false">
      <c r="A10" s="2" t="s">
        <v>52</v>
      </c>
      <c r="B10" s="2" t="s">
        <v>39</v>
      </c>
      <c r="C10" s="2" t="s">
        <v>13</v>
      </c>
      <c r="D10" s="2" t="s">
        <v>33</v>
      </c>
      <c r="E10" s="2" t="s">
        <v>53</v>
      </c>
      <c r="F10" s="2" t="s">
        <v>54</v>
      </c>
      <c r="G10" s="2" t="s">
        <v>55</v>
      </c>
      <c r="H10" s="2" t="s">
        <v>56</v>
      </c>
      <c r="I10" s="2"/>
      <c r="J10" s="2"/>
      <c r="K10" s="2"/>
    </row>
    <row r="11" customFormat="false" ht="68.65" hidden="false" customHeight="false" outlineLevel="0" collapsed="false">
      <c r="A11" s="3" t="s">
        <v>57</v>
      </c>
      <c r="B11" s="3" t="s">
        <v>39</v>
      </c>
      <c r="C11" s="3" t="s">
        <v>13</v>
      </c>
      <c r="D11" s="3" t="s">
        <v>19</v>
      </c>
      <c r="E11" s="3" t="s">
        <v>58</v>
      </c>
      <c r="F11" s="3" t="s">
        <v>59</v>
      </c>
      <c r="G11" s="3" t="s">
        <v>60</v>
      </c>
      <c r="H11" s="3"/>
      <c r="I11" s="3"/>
      <c r="J11" s="3"/>
      <c r="K11" s="3"/>
    </row>
    <row r="12" customFormat="false" ht="35.05" hidden="false" customHeight="false" outlineLevel="0" collapsed="false">
      <c r="A12" s="2" t="s">
        <v>61</v>
      </c>
      <c r="B12" s="2" t="s">
        <v>39</v>
      </c>
      <c r="C12" s="2" t="s">
        <v>13</v>
      </c>
      <c r="D12" s="2" t="s">
        <v>14</v>
      </c>
      <c r="E12" s="2" t="s">
        <v>62</v>
      </c>
      <c r="F12" s="2" t="s">
        <v>63</v>
      </c>
      <c r="G12" s="2" t="s">
        <v>64</v>
      </c>
      <c r="H12" s="2"/>
      <c r="I12" s="2"/>
      <c r="J12" s="2"/>
      <c r="K12" s="2"/>
    </row>
    <row r="13" customFormat="false" ht="35.05" hidden="false" customHeight="false" outlineLevel="0" collapsed="false">
      <c r="A13" s="3" t="s">
        <v>65</v>
      </c>
      <c r="B13" s="3" t="s">
        <v>39</v>
      </c>
      <c r="C13" s="3" t="s">
        <v>13</v>
      </c>
      <c r="D13" s="3" t="s">
        <v>19</v>
      </c>
      <c r="E13" s="3" t="s">
        <v>66</v>
      </c>
      <c r="F13" s="3" t="s">
        <v>67</v>
      </c>
      <c r="G13" s="3" t="s">
        <v>68</v>
      </c>
      <c r="H13" s="3"/>
      <c r="I13" s="3"/>
      <c r="J13" s="3"/>
      <c r="K13" s="3"/>
    </row>
    <row r="14" customFormat="false" ht="46.25" hidden="false" customHeight="false" outlineLevel="0" collapsed="false">
      <c r="A14" s="2" t="s">
        <v>69</v>
      </c>
      <c r="B14" s="2" t="s">
        <v>70</v>
      </c>
      <c r="C14" s="2" t="s">
        <v>13</v>
      </c>
      <c r="D14" s="2" t="s">
        <v>14</v>
      </c>
      <c r="E14" s="2" t="s">
        <v>71</v>
      </c>
      <c r="F14" s="2" t="s">
        <v>72</v>
      </c>
      <c r="G14" s="2" t="s">
        <v>73</v>
      </c>
      <c r="H14" s="2"/>
      <c r="I14" s="2"/>
      <c r="J14" s="2"/>
      <c r="K14" s="2"/>
    </row>
    <row r="15" customFormat="false" ht="46.25" hidden="false" customHeight="false" outlineLevel="0" collapsed="false">
      <c r="A15" s="3" t="s">
        <v>74</v>
      </c>
      <c r="B15" s="3" t="s">
        <v>70</v>
      </c>
      <c r="C15" s="3" t="s">
        <v>13</v>
      </c>
      <c r="D15" s="3" t="s">
        <v>19</v>
      </c>
      <c r="E15" s="3" t="s">
        <v>75</v>
      </c>
      <c r="F15" s="3" t="s">
        <v>76</v>
      </c>
      <c r="G15" s="3" t="s">
        <v>77</v>
      </c>
      <c r="H15" s="3"/>
      <c r="I15" s="3"/>
      <c r="J15" s="3"/>
      <c r="K15" s="3"/>
    </row>
    <row r="16" customFormat="false" ht="46.25" hidden="false" customHeight="false" outlineLevel="0" collapsed="false">
      <c r="A16" s="2" t="s">
        <v>78</v>
      </c>
      <c r="B16" s="2" t="s">
        <v>70</v>
      </c>
      <c r="C16" s="2" t="s">
        <v>13</v>
      </c>
      <c r="D16" s="2" t="s">
        <v>33</v>
      </c>
      <c r="E16" s="2" t="s">
        <v>79</v>
      </c>
      <c r="F16" s="2" t="s">
        <v>80</v>
      </c>
      <c r="G16" s="2" t="s">
        <v>81</v>
      </c>
      <c r="H16" s="2"/>
      <c r="I16" s="2"/>
      <c r="J16" s="2"/>
      <c r="K16" s="2"/>
    </row>
    <row r="17" customFormat="false" ht="35.05" hidden="false" customHeight="false" outlineLevel="0" collapsed="false">
      <c r="A17" s="3" t="s">
        <v>82</v>
      </c>
      <c r="B17" s="3" t="s">
        <v>70</v>
      </c>
      <c r="C17" s="3" t="s">
        <v>13</v>
      </c>
      <c r="D17" s="3" t="s">
        <v>19</v>
      </c>
      <c r="E17" s="3" t="s">
        <v>83</v>
      </c>
      <c r="F17" s="3" t="s">
        <v>84</v>
      </c>
      <c r="G17" s="3" t="s">
        <v>85</v>
      </c>
      <c r="H17" s="3"/>
      <c r="I17" s="3"/>
      <c r="J17" s="3"/>
      <c r="K17" s="3"/>
    </row>
    <row r="18" customFormat="false" ht="79.85" hidden="false" customHeight="false" outlineLevel="0" collapsed="false">
      <c r="A18" s="2" t="s">
        <v>86</v>
      </c>
      <c r="B18" s="2" t="s">
        <v>87</v>
      </c>
      <c r="C18" s="2" t="s">
        <v>13</v>
      </c>
      <c r="D18" s="2" t="s">
        <v>14</v>
      </c>
      <c r="E18" s="2" t="s">
        <v>88</v>
      </c>
      <c r="F18" s="2" t="s">
        <v>89</v>
      </c>
      <c r="G18" s="2" t="s">
        <v>90</v>
      </c>
      <c r="H18" s="2"/>
      <c r="I18" s="2"/>
      <c r="J18" s="2"/>
      <c r="K18" s="2"/>
    </row>
    <row r="19" customFormat="false" ht="57.45" hidden="false" customHeight="false" outlineLevel="0" collapsed="false">
      <c r="A19" s="3" t="s">
        <v>91</v>
      </c>
      <c r="B19" s="3" t="s">
        <v>87</v>
      </c>
      <c r="C19" s="3" t="s">
        <v>13</v>
      </c>
      <c r="D19" s="3" t="s">
        <v>19</v>
      </c>
      <c r="E19" s="3" t="s">
        <v>92</v>
      </c>
      <c r="F19" s="3" t="s">
        <v>93</v>
      </c>
      <c r="G19" s="3" t="s">
        <v>94</v>
      </c>
      <c r="H19" s="3"/>
      <c r="I19" s="3"/>
      <c r="J19" s="3"/>
      <c r="K19" s="3"/>
    </row>
    <row r="20" customFormat="false" ht="68.65" hidden="false" customHeight="false" outlineLevel="0" collapsed="false">
      <c r="A20" s="2" t="s">
        <v>95</v>
      </c>
      <c r="B20" s="2" t="s">
        <v>87</v>
      </c>
      <c r="C20" s="2" t="s">
        <v>13</v>
      </c>
      <c r="D20" s="2" t="s">
        <v>19</v>
      </c>
      <c r="E20" s="2" t="s">
        <v>96</v>
      </c>
      <c r="F20" s="2" t="s">
        <v>97</v>
      </c>
      <c r="G20" s="2" t="s">
        <v>98</v>
      </c>
      <c r="H20" s="2"/>
      <c r="I20" s="2"/>
      <c r="J20" s="2"/>
      <c r="K20" s="2"/>
    </row>
    <row r="21" customFormat="false" ht="79.85" hidden="false" customHeight="false" outlineLevel="0" collapsed="false">
      <c r="A21" s="3" t="s">
        <v>99</v>
      </c>
      <c r="B21" s="3" t="s">
        <v>87</v>
      </c>
      <c r="C21" s="3" t="s">
        <v>13</v>
      </c>
      <c r="D21" s="3" t="s">
        <v>33</v>
      </c>
      <c r="E21" s="3" t="s">
        <v>100</v>
      </c>
      <c r="F21" s="3" t="s">
        <v>101</v>
      </c>
      <c r="G21" s="3" t="s">
        <v>102</v>
      </c>
      <c r="H21" s="3"/>
      <c r="I21" s="3"/>
      <c r="J21" s="3"/>
      <c r="K21" s="3"/>
    </row>
    <row r="22" customFormat="false" ht="147" hidden="false" customHeight="false" outlineLevel="0" collapsed="false">
      <c r="A22" s="2" t="s">
        <v>103</v>
      </c>
      <c r="B22" s="2" t="s">
        <v>104</v>
      </c>
      <c r="C22" s="2" t="s">
        <v>105</v>
      </c>
      <c r="D22" s="2" t="s">
        <v>33</v>
      </c>
      <c r="E22" s="2" t="s">
        <v>106</v>
      </c>
      <c r="F22" s="2" t="s">
        <v>107</v>
      </c>
      <c r="G22" s="2" t="s">
        <v>108</v>
      </c>
      <c r="H22" s="2" t="s">
        <v>109</v>
      </c>
      <c r="I22" s="2"/>
      <c r="J22" s="2"/>
      <c r="K22" s="2"/>
    </row>
    <row r="23" customFormat="false" ht="135.8" hidden="false" customHeight="false" outlineLevel="0" collapsed="false">
      <c r="A23" s="3" t="s">
        <v>110</v>
      </c>
      <c r="B23" s="3" t="s">
        <v>104</v>
      </c>
      <c r="C23" s="3" t="s">
        <v>105</v>
      </c>
      <c r="D23" s="3" t="s">
        <v>33</v>
      </c>
      <c r="E23" s="3" t="s">
        <v>111</v>
      </c>
      <c r="F23" s="3" t="s">
        <v>112</v>
      </c>
      <c r="G23" s="3" t="s">
        <v>113</v>
      </c>
      <c r="H23" s="3"/>
      <c r="I23" s="3"/>
      <c r="J23" s="3"/>
      <c r="K23" s="3"/>
    </row>
    <row r="24" customFormat="false" ht="68.65" hidden="false" customHeight="false" outlineLevel="0" collapsed="false">
      <c r="A24" s="2" t="s">
        <v>114</v>
      </c>
      <c r="B24" s="2" t="s">
        <v>104</v>
      </c>
      <c r="C24" s="2" t="s">
        <v>105</v>
      </c>
      <c r="D24" s="2" t="s">
        <v>19</v>
      </c>
      <c r="E24" s="2" t="s">
        <v>115</v>
      </c>
      <c r="F24" s="2" t="s">
        <v>116</v>
      </c>
      <c r="G24" s="2" t="s">
        <v>117</v>
      </c>
      <c r="H24" s="2" t="s">
        <v>118</v>
      </c>
      <c r="I24" s="2"/>
      <c r="J24" s="2"/>
      <c r="K24" s="2"/>
    </row>
    <row r="25" customFormat="false" ht="57.45" hidden="false" customHeight="false" outlineLevel="0" collapsed="false">
      <c r="A25" s="3" t="s">
        <v>119</v>
      </c>
      <c r="B25" s="3" t="s">
        <v>104</v>
      </c>
      <c r="C25" s="3" t="s">
        <v>105</v>
      </c>
      <c r="D25" s="3" t="s">
        <v>19</v>
      </c>
      <c r="E25" s="3" t="s">
        <v>120</v>
      </c>
      <c r="F25" s="3" t="s">
        <v>121</v>
      </c>
      <c r="G25" s="3" t="s">
        <v>122</v>
      </c>
      <c r="H25" s="3"/>
      <c r="I25" s="3"/>
      <c r="J25" s="3"/>
      <c r="K25" s="3"/>
    </row>
    <row r="26" customFormat="false" ht="46.25" hidden="false" customHeight="false" outlineLevel="0" collapsed="false">
      <c r="A26" s="2" t="s">
        <v>123</v>
      </c>
      <c r="B26" s="2" t="s">
        <v>104</v>
      </c>
      <c r="C26" s="2" t="s">
        <v>13</v>
      </c>
      <c r="D26" s="2" t="s">
        <v>14</v>
      </c>
      <c r="E26" s="2" t="s">
        <v>124</v>
      </c>
      <c r="F26" s="2" t="s">
        <v>125</v>
      </c>
      <c r="G26" s="2" t="s">
        <v>126</v>
      </c>
      <c r="H26" s="2"/>
      <c r="I26" s="2"/>
      <c r="J26" s="2"/>
      <c r="K26" s="2"/>
    </row>
    <row r="27" customFormat="false" ht="46.25" hidden="false" customHeight="false" outlineLevel="0" collapsed="false">
      <c r="A27" s="3" t="s">
        <v>127</v>
      </c>
      <c r="B27" s="3" t="s">
        <v>128</v>
      </c>
      <c r="C27" s="3" t="s">
        <v>13</v>
      </c>
      <c r="D27" s="3" t="s">
        <v>14</v>
      </c>
      <c r="E27" s="3" t="s">
        <v>129</v>
      </c>
      <c r="F27" s="3" t="s">
        <v>130</v>
      </c>
      <c r="G27" s="3" t="s">
        <v>131</v>
      </c>
      <c r="H27" s="3"/>
      <c r="I27" s="3"/>
      <c r="J27" s="3"/>
      <c r="K27" s="3"/>
    </row>
    <row r="28" customFormat="false" ht="57.45" hidden="false" customHeight="false" outlineLevel="0" collapsed="false">
      <c r="A28" s="2" t="s">
        <v>132</v>
      </c>
      <c r="B28" s="2" t="s">
        <v>128</v>
      </c>
      <c r="C28" s="2" t="s">
        <v>13</v>
      </c>
      <c r="D28" s="2" t="s">
        <v>19</v>
      </c>
      <c r="E28" s="2" t="s">
        <v>133</v>
      </c>
      <c r="F28" s="2" t="s">
        <v>134</v>
      </c>
      <c r="G28" s="2" t="s">
        <v>135</v>
      </c>
      <c r="H28" s="2"/>
      <c r="I28" s="2"/>
      <c r="J28" s="2"/>
      <c r="K28" s="2"/>
    </row>
    <row r="29" customFormat="false" ht="79.85" hidden="false" customHeight="false" outlineLevel="0" collapsed="false">
      <c r="A29" s="3" t="s">
        <v>136</v>
      </c>
      <c r="B29" s="3" t="s">
        <v>128</v>
      </c>
      <c r="C29" s="3" t="s">
        <v>13</v>
      </c>
      <c r="D29" s="3" t="s">
        <v>19</v>
      </c>
      <c r="E29" s="3" t="s">
        <v>137</v>
      </c>
      <c r="F29" s="3" t="s">
        <v>138</v>
      </c>
      <c r="G29" s="3" t="s">
        <v>139</v>
      </c>
      <c r="H29" s="3"/>
      <c r="I29" s="3"/>
      <c r="J29" s="3"/>
      <c r="K29" s="3"/>
    </row>
    <row r="30" customFormat="false" ht="46.25" hidden="false" customHeight="false" outlineLevel="0" collapsed="false">
      <c r="A30" s="2" t="s">
        <v>140</v>
      </c>
      <c r="B30" s="2" t="s">
        <v>128</v>
      </c>
      <c r="C30" s="2" t="s">
        <v>13</v>
      </c>
      <c r="D30" s="2" t="s">
        <v>33</v>
      </c>
      <c r="E30" s="2" t="s">
        <v>141</v>
      </c>
      <c r="F30" s="2" t="s">
        <v>142</v>
      </c>
      <c r="G30" s="2" t="s">
        <v>143</v>
      </c>
      <c r="H30" s="2" t="s">
        <v>144</v>
      </c>
      <c r="I30" s="2"/>
      <c r="J30" s="2"/>
      <c r="K30" s="2"/>
    </row>
    <row r="31" customFormat="false" ht="79.85" hidden="false" customHeight="false" outlineLevel="0" collapsed="false">
      <c r="A31" s="3" t="s">
        <v>145</v>
      </c>
      <c r="B31" s="3" t="s">
        <v>146</v>
      </c>
      <c r="C31" s="3" t="s">
        <v>105</v>
      </c>
      <c r="D31" s="3" t="s">
        <v>33</v>
      </c>
      <c r="E31" s="3" t="s">
        <v>147</v>
      </c>
      <c r="F31" s="3" t="s">
        <v>148</v>
      </c>
      <c r="G31" s="3" t="s">
        <v>149</v>
      </c>
      <c r="H31" s="3" t="s">
        <v>150</v>
      </c>
      <c r="I31" s="3"/>
      <c r="J31" s="3"/>
      <c r="K31" s="3"/>
    </row>
    <row r="32" customFormat="false" ht="68.65" hidden="false" customHeight="false" outlineLevel="0" collapsed="false">
      <c r="A32" s="2" t="s">
        <v>151</v>
      </c>
      <c r="B32" s="2" t="s">
        <v>146</v>
      </c>
      <c r="C32" s="2" t="s">
        <v>105</v>
      </c>
      <c r="D32" s="2" t="s">
        <v>33</v>
      </c>
      <c r="E32" s="2" t="s">
        <v>152</v>
      </c>
      <c r="F32" s="2" t="s">
        <v>153</v>
      </c>
      <c r="G32" s="2" t="s">
        <v>154</v>
      </c>
      <c r="H32" s="2"/>
      <c r="I32" s="2"/>
      <c r="J32" s="2"/>
      <c r="K32" s="2"/>
    </row>
    <row r="33" customFormat="false" ht="46.25" hidden="false" customHeight="false" outlineLevel="0" collapsed="false">
      <c r="A33" s="3" t="s">
        <v>155</v>
      </c>
      <c r="B33" s="3" t="s">
        <v>146</v>
      </c>
      <c r="C33" s="3" t="s">
        <v>13</v>
      </c>
      <c r="D33" s="3" t="s">
        <v>19</v>
      </c>
      <c r="E33" s="3" t="s">
        <v>156</v>
      </c>
      <c r="F33" s="3" t="s">
        <v>157</v>
      </c>
      <c r="G33" s="3" t="s">
        <v>158</v>
      </c>
      <c r="H33" s="3"/>
      <c r="I33" s="3"/>
      <c r="J33" s="3"/>
      <c r="K33" s="3"/>
    </row>
    <row r="34" customFormat="false" ht="57.45" hidden="false" customHeight="false" outlineLevel="0" collapsed="false">
      <c r="A34" s="2" t="s">
        <v>159</v>
      </c>
      <c r="B34" s="2" t="s">
        <v>146</v>
      </c>
      <c r="C34" s="2" t="s">
        <v>13</v>
      </c>
      <c r="D34" s="2" t="s">
        <v>14</v>
      </c>
      <c r="E34" s="2" t="s">
        <v>160</v>
      </c>
      <c r="F34" s="2" t="s">
        <v>161</v>
      </c>
      <c r="G34" s="2" t="s">
        <v>162</v>
      </c>
      <c r="H34" s="2"/>
      <c r="I34" s="2"/>
      <c r="J34" s="2"/>
      <c r="K34" s="2"/>
    </row>
    <row r="35" customFormat="false" ht="46.25" hidden="false" customHeight="false" outlineLevel="0" collapsed="false">
      <c r="A35" s="3" t="s">
        <v>163</v>
      </c>
      <c r="B35" s="3" t="s">
        <v>164</v>
      </c>
      <c r="C35" s="3" t="s">
        <v>105</v>
      </c>
      <c r="D35" s="3" t="s">
        <v>33</v>
      </c>
      <c r="E35" s="3" t="s">
        <v>165</v>
      </c>
      <c r="F35" s="3" t="s">
        <v>166</v>
      </c>
      <c r="G35" s="3" t="s">
        <v>167</v>
      </c>
      <c r="H35" s="3" t="s">
        <v>168</v>
      </c>
      <c r="I35" s="3"/>
      <c r="J35" s="3"/>
      <c r="K35" s="3"/>
    </row>
    <row r="36" customFormat="false" ht="46.25" hidden="false" customHeight="false" outlineLevel="0" collapsed="false">
      <c r="A36" s="2" t="s">
        <v>169</v>
      </c>
      <c r="B36" s="2" t="s">
        <v>164</v>
      </c>
      <c r="C36" s="2" t="s">
        <v>13</v>
      </c>
      <c r="D36" s="2" t="s">
        <v>19</v>
      </c>
      <c r="E36" s="2" t="s">
        <v>170</v>
      </c>
      <c r="F36" s="2" t="s">
        <v>171</v>
      </c>
      <c r="G36" s="2" t="s">
        <v>172</v>
      </c>
      <c r="H36" s="2"/>
      <c r="I36" s="2"/>
      <c r="J36" s="2"/>
      <c r="K36" s="2"/>
    </row>
    <row r="37" customFormat="false" ht="46.25" hidden="false" customHeight="false" outlineLevel="0" collapsed="false">
      <c r="A37" s="3" t="s">
        <v>173</v>
      </c>
      <c r="B37" s="3" t="s">
        <v>164</v>
      </c>
      <c r="C37" s="3" t="s">
        <v>13</v>
      </c>
      <c r="D37" s="3" t="s">
        <v>14</v>
      </c>
      <c r="E37" s="3" t="s">
        <v>174</v>
      </c>
      <c r="F37" s="3" t="s">
        <v>175</v>
      </c>
      <c r="G37" s="3" t="s">
        <v>176</v>
      </c>
      <c r="H37" s="3"/>
      <c r="I37" s="3"/>
      <c r="J37" s="3"/>
      <c r="K37" s="3"/>
    </row>
  </sheetData>
  <autoFilter ref="A1:K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4" t="s">
        <v>177</v>
      </c>
    </row>
    <row r="2" customFormat="false" ht="15" hidden="false" customHeight="false" outlineLevel="0" collapsed="false">
      <c r="A2" s="5"/>
    </row>
    <row r="3" customFormat="false" ht="15" hidden="false" customHeight="false" outlineLevel="0" collapsed="false">
      <c r="A3" s="6" t="s">
        <v>178</v>
      </c>
    </row>
    <row r="4" customFormat="false" ht="15" hidden="false" customHeight="false" outlineLevel="0" collapsed="false">
      <c r="A4" s="6" t="s">
        <v>179</v>
      </c>
    </row>
    <row r="5" customFormat="false" ht="15" hidden="false" customHeight="false" outlineLevel="0" collapsed="false">
      <c r="A5" s="6" t="s">
        <v>180</v>
      </c>
    </row>
    <row r="6" customFormat="false" ht="15" hidden="false" customHeight="false" outlineLevel="0" collapsed="false">
      <c r="A6" s="6" t="s">
        <v>181</v>
      </c>
    </row>
    <row r="7" customFormat="false" ht="15" hidden="false" customHeight="false" outlineLevel="0" collapsed="false">
      <c r="A7" s="6" t="s">
        <v>182</v>
      </c>
    </row>
    <row r="8" customFormat="false" ht="15" hidden="false" customHeight="false" outlineLevel="0" collapsed="false">
      <c r="A8" s="5"/>
    </row>
    <row r="9" customFormat="false" ht="15" hidden="false" customHeight="false" outlineLevel="0" collapsed="false">
      <c r="A9" s="6" t="s">
        <v>183</v>
      </c>
    </row>
    <row r="10" customFormat="false" ht="15" hidden="false" customHeight="false" outlineLevel="0" collapsed="false">
      <c r="A10" s="5" t="s">
        <v>184</v>
      </c>
    </row>
    <row r="11" customFormat="false" ht="15" hidden="false" customHeight="false" outlineLevel="0" collapsed="false">
      <c r="A11" s="5" t="s">
        <v>185</v>
      </c>
    </row>
    <row r="12" customFormat="false" ht="15" hidden="false" customHeight="false" outlineLevel="0" collapsed="false">
      <c r="A12" s="5" t="s">
        <v>186</v>
      </c>
    </row>
    <row r="13" customFormat="false" ht="15" hidden="false" customHeight="false" outlineLevel="0" collapsed="false">
      <c r="A13" s="5" t="s">
        <v>187</v>
      </c>
    </row>
    <row r="14" customFormat="false" ht="15" hidden="false" customHeight="false" outlineLevel="0" collapsed="false">
      <c r="A14" s="5"/>
    </row>
    <row r="15" customFormat="false" ht="15" hidden="false" customHeight="false" outlineLevel="0" collapsed="false">
      <c r="A15" s="6" t="s">
        <v>188</v>
      </c>
    </row>
    <row r="16" customFormat="false" ht="15" hidden="false" customHeight="false" outlineLevel="0" collapsed="false">
      <c r="A16" s="5" t="s">
        <v>189</v>
      </c>
    </row>
    <row r="17" customFormat="false" ht="15" hidden="false" customHeight="false" outlineLevel="0" collapsed="false">
      <c r="A17" s="5" t="s">
        <v>190</v>
      </c>
    </row>
    <row r="18" customFormat="false" ht="15" hidden="false" customHeight="false" outlineLevel="0" collapsed="false">
      <c r="A18" s="5" t="s">
        <v>191</v>
      </c>
    </row>
    <row r="19" customFormat="false" ht="15" hidden="false" customHeight="false" outlineLevel="0" collapsed="false">
      <c r="A19" s="5" t="s">
        <v>192</v>
      </c>
    </row>
    <row r="20" customFormat="false" ht="15" hidden="false" customHeight="false" outlineLevel="0" collapsed="false">
      <c r="A20" s="5"/>
    </row>
    <row r="21" customFormat="false" ht="15" hidden="false" customHeight="false" outlineLevel="0" collapsed="false">
      <c r="A21" s="5"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s>
  <sheetData>
    <row r="1" customFormat="false" ht="17.35" hidden="false" customHeight="false" outlineLevel="0" collapsed="false">
      <c r="A1" s="4" t="s">
        <v>194</v>
      </c>
    </row>
    <row r="3" customFormat="false" ht="15" hidden="false" customHeight="false" outlineLevel="0" collapsed="false">
      <c r="A3" s="5" t="s">
        <v>195</v>
      </c>
      <c r="B3" s="5" t="n">
        <f aca="false">COUNTA(Questions!A2:A37)</f>
        <v>36</v>
      </c>
    </row>
    <row r="4" customFormat="false" ht="15" hidden="false" customHeight="false" outlineLevel="0" collapsed="false">
      <c r="A4" s="5"/>
      <c r="B4" s="5"/>
    </row>
    <row r="5" customFormat="false" ht="15" hidden="false" customHeight="false" outlineLevel="0" collapsed="false">
      <c r="A5" s="6" t="s">
        <v>196</v>
      </c>
      <c r="B5" s="5"/>
    </row>
    <row r="6" customFormat="false" ht="15" hidden="false" customHeight="false" outlineLevel="0" collapsed="false">
      <c r="A6" s="5" t="s">
        <v>12</v>
      </c>
      <c r="B6" s="5" t="n">
        <f aca="false">COUNTIF(Questions!B2:B37,A6)</f>
        <v>6</v>
      </c>
    </row>
    <row r="7" customFormat="false" ht="15" hidden="false" customHeight="false" outlineLevel="0" collapsed="false">
      <c r="A7" s="5" t="s">
        <v>39</v>
      </c>
      <c r="B7" s="5" t="n">
        <f aca="false">COUNTIF(Questions!B2:B37,A7)</f>
        <v>6</v>
      </c>
    </row>
    <row r="8" customFormat="false" ht="15" hidden="false" customHeight="false" outlineLevel="0" collapsed="false">
      <c r="A8" s="5" t="s">
        <v>70</v>
      </c>
      <c r="B8" s="5" t="n">
        <f aca="false">COUNTIF(Questions!B2:B37,A8)</f>
        <v>4</v>
      </c>
    </row>
    <row r="9" customFormat="false" ht="15" hidden="false" customHeight="false" outlineLevel="0" collapsed="false">
      <c r="A9" s="5" t="s">
        <v>87</v>
      </c>
      <c r="B9" s="5" t="n">
        <f aca="false">COUNTIF(Questions!B2:B37,A9)</f>
        <v>4</v>
      </c>
    </row>
    <row r="10" customFormat="false" ht="15" hidden="false" customHeight="false" outlineLevel="0" collapsed="false">
      <c r="A10" s="5" t="s">
        <v>104</v>
      </c>
      <c r="B10" s="5" t="n">
        <f aca="false">COUNTIF(Questions!B2:B37,A10)</f>
        <v>5</v>
      </c>
    </row>
    <row r="11" customFormat="false" ht="15" hidden="false" customHeight="false" outlineLevel="0" collapsed="false">
      <c r="A11" s="5" t="s">
        <v>128</v>
      </c>
      <c r="B11" s="5" t="n">
        <f aca="false">COUNTIF(Questions!B2:B37,A11)</f>
        <v>4</v>
      </c>
    </row>
    <row r="12" customFormat="false" ht="15" hidden="false" customHeight="false" outlineLevel="0" collapsed="false">
      <c r="A12" s="5" t="s">
        <v>146</v>
      </c>
      <c r="B12" s="5" t="n">
        <f aca="false">COUNTIF(Questions!B2:B37,A12)</f>
        <v>4</v>
      </c>
    </row>
    <row r="13" customFormat="false" ht="15" hidden="false" customHeight="false" outlineLevel="0" collapsed="false">
      <c r="A13" s="5" t="s">
        <v>164</v>
      </c>
      <c r="B13" s="5" t="n">
        <f aca="false">COUNTIF(Questions!B2:B37,A13)</f>
        <v>3</v>
      </c>
    </row>
    <row r="14" customFormat="false" ht="15" hidden="false" customHeight="false" outlineLevel="0" collapsed="false">
      <c r="A14" s="5"/>
      <c r="B14" s="5"/>
    </row>
    <row r="15" customFormat="false" ht="15" hidden="false" customHeight="false" outlineLevel="0" collapsed="false">
      <c r="A15" s="5"/>
      <c r="B15" s="5"/>
    </row>
    <row r="16" customFormat="false" ht="15" hidden="false" customHeight="false" outlineLevel="0" collapsed="false">
      <c r="A16" s="6" t="s">
        <v>197</v>
      </c>
      <c r="B16" s="5"/>
    </row>
    <row r="17" customFormat="false" ht="15" hidden="false" customHeight="false" outlineLevel="0" collapsed="false">
      <c r="A17" s="5" t="s">
        <v>13</v>
      </c>
      <c r="B17" s="5" t="n">
        <f aca="false">COUNTIF(Questions!C2:C37,A17)</f>
        <v>29</v>
      </c>
    </row>
    <row r="18" customFormat="false" ht="15" hidden="false" customHeight="false" outlineLevel="0" collapsed="false">
      <c r="A18" s="5" t="s">
        <v>105</v>
      </c>
      <c r="B18" s="5" t="n">
        <f aca="false">COUNTIF(Questions!C2:C37,A18)</f>
        <v>7</v>
      </c>
    </row>
    <row r="19" customFormat="false" ht="15" hidden="false" customHeight="false" outlineLevel="0" collapsed="false">
      <c r="A19" s="5"/>
      <c r="B19" s="5"/>
    </row>
    <row r="20" customFormat="false" ht="15" hidden="false" customHeight="false" outlineLevel="0" collapsed="false">
      <c r="A20" s="5"/>
      <c r="B20"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2026-09-29T05:13:57Z</dcterms:created>
  <dc:creator>openpyxl</dc:creator>
  <dc:description/>
  <dc:language>en-US</dc:language>
  <cp:lastModifiedBy/>
  <dcterms:modified xsi:type="dcterms:W3CDTF">2026-09-29T05:13:57Z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